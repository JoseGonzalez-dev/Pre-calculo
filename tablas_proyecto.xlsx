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  <sheet name="Resultados" sheetId="2" state="visible" r:id="rId2"/>
    <sheet name="Usuarios" sheetId="3" state="visible" r:id="rId3"/>
    <sheet name="Latencia" sheetId="4" state="visible" r:id="rId4"/>
    <sheet name="Uti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$#,##0"/>
    <numFmt numFmtId="166" formatCode="#,##0.0"/>
    <numFmt numFmtId="167" formatCode="#,##0.0000"/>
    <numFmt numFmtId="168" formatCode="$#,##0;($#,##0);-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4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Crecimiento de usuarios U(t)</a:t>
            </a:r>
          </a:p>
        </rich>
      </tx>
    </title>
    <plotArea>
      <scatterChart>
        <ser>
          <idx val="0"/>
          <order val="0"/>
          <tx>
            <strRef>
              <f>'Usuarios'!B1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'Usuarios'!$A$2:$A$26</f>
            </numRef>
          </xVal>
          <yVal>
            <numRef>
              <f>'Usuarios'!$B$2:$B$26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 (meses)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Usuarios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Utilidad financiera P(x)</a:t>
            </a:r>
          </a:p>
        </rich>
      </tx>
    </title>
    <plotArea>
      <scatterChart>
        <ser>
          <idx val="0"/>
          <order val="0"/>
          <tx>
            <strRef>
              <f>'Utilidad'!B1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'Utilidad'!$A$2:$A$22</f>
            </numRef>
          </xVal>
          <yVal>
            <numRef>
              <f>'Utilidad'!$B$2:$B$22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Precio x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Utilidad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2" customWidth="1" min="3" max="3"/>
  </cols>
  <sheetData>
    <row r="1">
      <c r="A1" s="1" t="inlineStr">
        <is>
          <t>Parámetros del modelo (editar solo las celdas azules)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Descripción</t>
        </is>
      </c>
    </row>
    <row r="4">
      <c r="A4" s="3" t="inlineStr">
        <is>
          <t>U0</t>
        </is>
      </c>
      <c r="B4" s="4" t="n">
        <v>150</v>
      </c>
      <c r="C4" s="3" t="inlineStr">
        <is>
          <t>Usuarios iniciales</t>
        </is>
      </c>
    </row>
    <row r="5">
      <c r="A5" s="3" t="inlineStr">
        <is>
          <t>r</t>
        </is>
      </c>
      <c r="B5" s="4" t="n">
        <v>0.25</v>
      </c>
      <c r="C5" s="3" t="inlineStr">
        <is>
          <t>Crecimiento mensual (0.25 = 25 %)</t>
        </is>
      </c>
    </row>
    <row r="6">
      <c r="A6" s="3" t="inlineStr">
        <is>
          <t>Meta de usuarios</t>
        </is>
      </c>
      <c r="B6" s="4" t="n">
        <v>3000</v>
      </c>
      <c r="C6" s="3" t="inlineStr">
        <is>
          <t>Pregunta 1</t>
        </is>
      </c>
    </row>
    <row r="7">
      <c r="A7" s="3" t="inlineStr">
        <is>
          <t>Capacidad</t>
        </is>
      </c>
      <c r="B7" s="4" t="n">
        <v>5000</v>
      </c>
      <c r="C7" s="3" t="inlineStr">
        <is>
          <t>Asíntota vertical de L(u): colapso del servidor</t>
        </is>
      </c>
    </row>
    <row r="8">
      <c r="A8" s="3" t="inlineStr">
        <is>
          <t>Numerador de L(u)</t>
        </is>
      </c>
      <c r="B8" s="4" t="n">
        <v>100</v>
      </c>
      <c r="C8" s="3" t="inlineStr">
        <is>
          <t>L(u) = numerador / (capacidad - u), en ms</t>
        </is>
      </c>
    </row>
    <row r="9">
      <c r="A9" s="3" t="inlineStr">
        <is>
          <t>Latencia máxima (ms)</t>
        </is>
      </c>
      <c r="B9" s="4" t="n">
        <v>2000</v>
      </c>
      <c r="C9" s="3" t="inlineStr">
        <is>
          <t>Pregunta 2: 2 s = 2000 ms</t>
        </is>
      </c>
    </row>
    <row r="10">
      <c r="A10" s="3" t="inlineStr">
        <is>
          <t>a</t>
        </is>
      </c>
      <c r="B10" s="4" t="n">
        <v>-0.5</v>
      </c>
      <c r="C10" s="3" t="inlineStr">
        <is>
          <t>Coeficiente de x² en P(x)</t>
        </is>
      </c>
    </row>
    <row r="11">
      <c r="A11" s="3" t="inlineStr">
        <is>
          <t>b</t>
        </is>
      </c>
      <c r="B11" s="4" t="n">
        <v>1000</v>
      </c>
      <c r="C11" s="3" t="inlineStr">
        <is>
          <t>Coeficiente de x en P(x)</t>
        </is>
      </c>
    </row>
    <row r="12">
      <c r="A12" s="3" t="inlineStr">
        <is>
          <t>c</t>
        </is>
      </c>
      <c r="B12" s="4" t="n">
        <v>-5000</v>
      </c>
      <c r="C12" s="3" t="inlineStr">
        <is>
          <t>Término independiente de P(x)</t>
        </is>
      </c>
    </row>
    <row r="14">
      <c r="A14" s="5" t="inlineStr">
        <is>
          <t>Fuente: valores del enunciado 'Proyecto Final: Escalamiento y Servidores de un Sistema en la Nube'.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</cols>
  <sheetData>
    <row r="1">
      <c r="A1" s="1" t="inlineStr">
        <is>
          <t>Resultados de las 3 preguntas</t>
        </is>
      </c>
    </row>
    <row r="3">
      <c r="A3" s="2" t="inlineStr">
        <is>
          <t>Resultado</t>
        </is>
      </c>
      <c r="B3" s="2" t="inlineStr">
        <is>
          <t>Valor</t>
        </is>
      </c>
      <c r="C3" s="2" t="inlineStr">
        <is>
          <t>Fórmula</t>
        </is>
      </c>
    </row>
    <row r="4">
      <c r="A4" s="3" t="inlineStr">
        <is>
          <t>P1: mes exacto en que U(t) = meta</t>
        </is>
      </c>
      <c r="B4" s="6">
        <f>LN('Parámetros'!$B$6/'Parámetros'!$B$4)/LN(1+'Parámetros'!$B$5)</f>
        <v/>
      </c>
      <c r="C4" s="3" t="inlineStr">
        <is>
          <t>t = ln(meta/U0) / ln(1+r)</t>
        </is>
      </c>
    </row>
    <row r="5">
      <c r="A5" s="3" t="inlineStr">
        <is>
          <t>P1: primer mes entero que supera la meta</t>
        </is>
      </c>
      <c r="B5" s="7">
        <f>INT(B4)+1</f>
        <v/>
      </c>
      <c r="C5" s="3" t="inlineStr">
        <is>
          <t>Se redondea hacia arriba el mes exacto</t>
        </is>
      </c>
    </row>
    <row r="6">
      <c r="A6" s="3" t="inlineStr">
        <is>
          <t>P2: usuarios a partir de los cuales L(u) &gt; 2000 ms</t>
        </is>
      </c>
      <c r="B6" s="8">
        <f>'Parámetros'!$B$7-'Parámetros'!$B$8/'Parámetros'!$B$9</f>
        <v/>
      </c>
      <c r="C6" s="3" t="inlineStr">
        <is>
          <t>u &gt; capacidad - numerador / latencia</t>
        </is>
      </c>
    </row>
    <row r="7">
      <c r="A7" s="3" t="inlineStr">
        <is>
          <t>P3: precio óptimo h ($)</t>
        </is>
      </c>
      <c r="B7" s="9">
        <f>-'Parámetros'!$B$11/(2*'Parámetros'!$B$10)</f>
        <v/>
      </c>
      <c r="C7" s="3" t="inlineStr">
        <is>
          <t>h = -b / (2a)</t>
        </is>
      </c>
    </row>
    <row r="8">
      <c r="A8" s="3" t="inlineStr">
        <is>
          <t>P3: utilidad máxima k ($)</t>
        </is>
      </c>
      <c r="B8" s="9">
        <f>'Parámetros'!$B$10*B7^2+'Parámetros'!$B$11*B7+'Parámetros'!$B$12</f>
        <v/>
      </c>
      <c r="C8" s="3" t="inlineStr">
        <is>
          <t>k = P(h)</t>
        </is>
      </c>
    </row>
    <row r="9">
      <c r="A9" s="3" t="inlineStr">
        <is>
          <t>Mes en que U(t) llega a la capacidad</t>
        </is>
      </c>
      <c r="B9" s="6">
        <f>LN('Parámetros'!$B$7/'Parámetros'!$B$4)/LN(1+'Parámetros'!$B$5)</f>
        <v/>
      </c>
      <c r="C9" s="3" t="inlineStr">
        <is>
          <t>t = ln(capacidad/U0) / ln(1+r)</t>
        </is>
      </c>
    </row>
    <row r="10">
      <c r="A10" s="3" t="inlineStr">
        <is>
          <t>Usuarios en el último mes completo antes del colapso</t>
        </is>
      </c>
      <c r="B10" s="10">
        <f>'Parámetros'!$B$4*(1+'Parámetros'!$B$5)^INT(B9)</f>
        <v/>
      </c>
      <c r="C10" s="3" t="inlineStr">
        <is>
          <t>U(INT(t_colapso))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2" customWidth="1" min="4" max="4"/>
  </cols>
  <sheetData>
    <row r="1">
      <c r="A1" s="2" t="inlineStr">
        <is>
          <t>t (meses)</t>
        </is>
      </c>
      <c r="B1" s="2" t="inlineStr">
        <is>
          <t>U(t) usuarios</t>
        </is>
      </c>
      <c r="C1" s="2" t="inlineStr">
        <is>
          <t>¿Supera la meta?</t>
        </is>
      </c>
      <c r="D1" s="2" t="inlineStr">
        <is>
          <t>¿Supera la capacidad?</t>
        </is>
      </c>
    </row>
    <row r="2">
      <c r="A2" s="3" t="n">
        <v>0</v>
      </c>
      <c r="B2" s="11">
        <f>'Parámetros'!$B$4*(1+'Parámetros'!$B$5)^A2</f>
        <v/>
      </c>
      <c r="C2" s="3">
        <f>IF(B2&gt;'Parámetros'!$B$6,"Sí","No")</f>
        <v/>
      </c>
      <c r="D2" s="3">
        <f>IF(B2&gt;'Parámetros'!$B$7,"Sí","No")</f>
        <v/>
      </c>
    </row>
    <row r="3">
      <c r="A3" s="3" t="n">
        <v>1</v>
      </c>
      <c r="B3" s="11">
        <f>'Parámetros'!$B$4*(1+'Parámetros'!$B$5)^A3</f>
        <v/>
      </c>
      <c r="C3" s="3">
        <f>IF(B3&gt;'Parámetros'!$B$6,"Sí","No")</f>
        <v/>
      </c>
      <c r="D3" s="3">
        <f>IF(B3&gt;'Parámetros'!$B$7,"Sí","No")</f>
        <v/>
      </c>
    </row>
    <row r="4">
      <c r="A4" s="3" t="n">
        <v>2</v>
      </c>
      <c r="B4" s="11">
        <f>'Parámetros'!$B$4*(1+'Parámetros'!$B$5)^A4</f>
        <v/>
      </c>
      <c r="C4" s="3">
        <f>IF(B4&gt;'Parámetros'!$B$6,"Sí","No")</f>
        <v/>
      </c>
      <c r="D4" s="3">
        <f>IF(B4&gt;'Parámetros'!$B$7,"Sí","No")</f>
        <v/>
      </c>
    </row>
    <row r="5">
      <c r="A5" s="3" t="n">
        <v>3</v>
      </c>
      <c r="B5" s="11">
        <f>'Parámetros'!$B$4*(1+'Parámetros'!$B$5)^A5</f>
        <v/>
      </c>
      <c r="C5" s="3">
        <f>IF(B5&gt;'Parámetros'!$B$6,"Sí","No")</f>
        <v/>
      </c>
      <c r="D5" s="3">
        <f>IF(B5&gt;'Parámetros'!$B$7,"Sí","No")</f>
        <v/>
      </c>
    </row>
    <row r="6">
      <c r="A6" s="3" t="n">
        <v>4</v>
      </c>
      <c r="B6" s="11">
        <f>'Parámetros'!$B$4*(1+'Parámetros'!$B$5)^A6</f>
        <v/>
      </c>
      <c r="C6" s="3">
        <f>IF(B6&gt;'Parámetros'!$B$6,"Sí","No")</f>
        <v/>
      </c>
      <c r="D6" s="3">
        <f>IF(B6&gt;'Parámetros'!$B$7,"Sí","No")</f>
        <v/>
      </c>
    </row>
    <row r="7">
      <c r="A7" s="3" t="n">
        <v>5</v>
      </c>
      <c r="B7" s="11">
        <f>'Parámetros'!$B$4*(1+'Parámetros'!$B$5)^A7</f>
        <v/>
      </c>
      <c r="C7" s="3">
        <f>IF(B7&gt;'Parámetros'!$B$6,"Sí","No")</f>
        <v/>
      </c>
      <c r="D7" s="3">
        <f>IF(B7&gt;'Parámetros'!$B$7,"Sí","No")</f>
        <v/>
      </c>
    </row>
    <row r="8">
      <c r="A8" s="3" t="n">
        <v>6</v>
      </c>
      <c r="B8" s="11">
        <f>'Parámetros'!$B$4*(1+'Parámetros'!$B$5)^A8</f>
        <v/>
      </c>
      <c r="C8" s="3">
        <f>IF(B8&gt;'Parámetros'!$B$6,"Sí","No")</f>
        <v/>
      </c>
      <c r="D8" s="3">
        <f>IF(B8&gt;'Parámetros'!$B$7,"Sí","No")</f>
        <v/>
      </c>
    </row>
    <row r="9">
      <c r="A9" s="3" t="n">
        <v>7</v>
      </c>
      <c r="B9" s="11">
        <f>'Parámetros'!$B$4*(1+'Parámetros'!$B$5)^A9</f>
        <v/>
      </c>
      <c r="C9" s="3">
        <f>IF(B9&gt;'Parámetros'!$B$6,"Sí","No")</f>
        <v/>
      </c>
      <c r="D9" s="3">
        <f>IF(B9&gt;'Parámetros'!$B$7,"Sí","No")</f>
        <v/>
      </c>
    </row>
    <row r="10">
      <c r="A10" s="3" t="n">
        <v>8</v>
      </c>
      <c r="B10" s="11">
        <f>'Parámetros'!$B$4*(1+'Parámetros'!$B$5)^A10</f>
        <v/>
      </c>
      <c r="C10" s="3">
        <f>IF(B10&gt;'Parámetros'!$B$6,"Sí","No")</f>
        <v/>
      </c>
      <c r="D10" s="3">
        <f>IF(B10&gt;'Parámetros'!$B$7,"Sí","No")</f>
        <v/>
      </c>
    </row>
    <row r="11">
      <c r="A11" s="3" t="n">
        <v>9</v>
      </c>
      <c r="B11" s="11">
        <f>'Parámetros'!$B$4*(1+'Parámetros'!$B$5)^A11</f>
        <v/>
      </c>
      <c r="C11" s="3">
        <f>IF(B11&gt;'Parámetros'!$B$6,"Sí","No")</f>
        <v/>
      </c>
      <c r="D11" s="3">
        <f>IF(B11&gt;'Parámetros'!$B$7,"Sí","No")</f>
        <v/>
      </c>
    </row>
    <row r="12">
      <c r="A12" s="3" t="n">
        <v>10</v>
      </c>
      <c r="B12" s="11">
        <f>'Parámetros'!$B$4*(1+'Parámetros'!$B$5)^A12</f>
        <v/>
      </c>
      <c r="C12" s="3">
        <f>IF(B12&gt;'Parámetros'!$B$6,"Sí","No")</f>
        <v/>
      </c>
      <c r="D12" s="3">
        <f>IF(B12&gt;'Parámetros'!$B$7,"Sí","No")</f>
        <v/>
      </c>
    </row>
    <row r="13">
      <c r="A13" s="3" t="n">
        <v>11</v>
      </c>
      <c r="B13" s="11">
        <f>'Parámetros'!$B$4*(1+'Parámetros'!$B$5)^A13</f>
        <v/>
      </c>
      <c r="C13" s="3">
        <f>IF(B13&gt;'Parámetros'!$B$6,"Sí","No")</f>
        <v/>
      </c>
      <c r="D13" s="3">
        <f>IF(B13&gt;'Parámetros'!$B$7,"Sí","No")</f>
        <v/>
      </c>
    </row>
    <row r="14">
      <c r="A14" s="3" t="n">
        <v>12</v>
      </c>
      <c r="B14" s="11">
        <f>'Parámetros'!$B$4*(1+'Parámetros'!$B$5)^A14</f>
        <v/>
      </c>
      <c r="C14" s="3">
        <f>IF(B14&gt;'Parámetros'!$B$6,"Sí","No")</f>
        <v/>
      </c>
      <c r="D14" s="3">
        <f>IF(B14&gt;'Parámetros'!$B$7,"Sí","No")</f>
        <v/>
      </c>
    </row>
    <row r="15">
      <c r="A15" s="3" t="n">
        <v>13</v>
      </c>
      <c r="B15" s="11">
        <f>'Parámetros'!$B$4*(1+'Parámetros'!$B$5)^A15</f>
        <v/>
      </c>
      <c r="C15" s="3">
        <f>IF(B15&gt;'Parámetros'!$B$6,"Sí","No")</f>
        <v/>
      </c>
      <c r="D15" s="3">
        <f>IF(B15&gt;'Parámetros'!$B$7,"Sí","No")</f>
        <v/>
      </c>
    </row>
    <row r="16">
      <c r="A16" s="3" t="n">
        <v>14</v>
      </c>
      <c r="B16" s="11">
        <f>'Parámetros'!$B$4*(1+'Parámetros'!$B$5)^A16</f>
        <v/>
      </c>
      <c r="C16" s="3">
        <f>IF(B16&gt;'Parámetros'!$B$6,"Sí","No")</f>
        <v/>
      </c>
      <c r="D16" s="3">
        <f>IF(B16&gt;'Parámetros'!$B$7,"Sí","No")</f>
        <v/>
      </c>
    </row>
    <row r="17">
      <c r="A17" s="3" t="n">
        <v>15</v>
      </c>
      <c r="B17" s="11">
        <f>'Parámetros'!$B$4*(1+'Parámetros'!$B$5)^A17</f>
        <v/>
      </c>
      <c r="C17" s="3">
        <f>IF(B17&gt;'Parámetros'!$B$6,"Sí","No")</f>
        <v/>
      </c>
      <c r="D17" s="3">
        <f>IF(B17&gt;'Parámetros'!$B$7,"Sí","No")</f>
        <v/>
      </c>
    </row>
    <row r="18">
      <c r="A18" s="3" t="n">
        <v>16</v>
      </c>
      <c r="B18" s="11">
        <f>'Parámetros'!$B$4*(1+'Parámetros'!$B$5)^A18</f>
        <v/>
      </c>
      <c r="C18" s="3">
        <f>IF(B18&gt;'Parámetros'!$B$6,"Sí","No")</f>
        <v/>
      </c>
      <c r="D18" s="3">
        <f>IF(B18&gt;'Parámetros'!$B$7,"Sí","No")</f>
        <v/>
      </c>
    </row>
    <row r="19">
      <c r="A19" s="3" t="n">
        <v>17</v>
      </c>
      <c r="B19" s="11">
        <f>'Parámetros'!$B$4*(1+'Parámetros'!$B$5)^A19</f>
        <v/>
      </c>
      <c r="C19" s="3">
        <f>IF(B19&gt;'Parámetros'!$B$6,"Sí","No")</f>
        <v/>
      </c>
      <c r="D19" s="3">
        <f>IF(B19&gt;'Parámetros'!$B$7,"Sí","No")</f>
        <v/>
      </c>
    </row>
    <row r="20">
      <c r="A20" s="3" t="n">
        <v>18</v>
      </c>
      <c r="B20" s="11">
        <f>'Parámetros'!$B$4*(1+'Parámetros'!$B$5)^A20</f>
        <v/>
      </c>
      <c r="C20" s="3">
        <f>IF(B20&gt;'Parámetros'!$B$6,"Sí","No")</f>
        <v/>
      </c>
      <c r="D20" s="3">
        <f>IF(B20&gt;'Parámetros'!$B$7,"Sí","No")</f>
        <v/>
      </c>
    </row>
    <row r="21">
      <c r="A21" s="3" t="n">
        <v>19</v>
      </c>
      <c r="B21" s="11">
        <f>'Parámetros'!$B$4*(1+'Parámetros'!$B$5)^A21</f>
        <v/>
      </c>
      <c r="C21" s="3">
        <f>IF(B21&gt;'Parámetros'!$B$6,"Sí","No")</f>
        <v/>
      </c>
      <c r="D21" s="3">
        <f>IF(B21&gt;'Parámetros'!$B$7,"Sí","No")</f>
        <v/>
      </c>
    </row>
    <row r="22">
      <c r="A22" s="3" t="n">
        <v>20</v>
      </c>
      <c r="B22" s="11">
        <f>'Parámetros'!$B$4*(1+'Parámetros'!$B$5)^A22</f>
        <v/>
      </c>
      <c r="C22" s="3">
        <f>IF(B22&gt;'Parámetros'!$B$6,"Sí","No")</f>
        <v/>
      </c>
      <c r="D22" s="3">
        <f>IF(B22&gt;'Parámetros'!$B$7,"Sí","No")</f>
        <v/>
      </c>
    </row>
    <row r="23">
      <c r="A23" s="3" t="n">
        <v>21</v>
      </c>
      <c r="B23" s="11">
        <f>'Parámetros'!$B$4*(1+'Parámetros'!$B$5)^A23</f>
        <v/>
      </c>
      <c r="C23" s="3">
        <f>IF(B23&gt;'Parámetros'!$B$6,"Sí","No")</f>
        <v/>
      </c>
      <c r="D23" s="3">
        <f>IF(B23&gt;'Parámetros'!$B$7,"Sí","No")</f>
        <v/>
      </c>
    </row>
    <row r="24">
      <c r="A24" s="3" t="n">
        <v>22</v>
      </c>
      <c r="B24" s="11">
        <f>'Parámetros'!$B$4*(1+'Parámetros'!$B$5)^A24</f>
        <v/>
      </c>
      <c r="C24" s="3">
        <f>IF(B24&gt;'Parámetros'!$B$6,"Sí","No")</f>
        <v/>
      </c>
      <c r="D24" s="3">
        <f>IF(B24&gt;'Parámetros'!$B$7,"Sí","No")</f>
        <v/>
      </c>
    </row>
    <row r="25">
      <c r="A25" s="3" t="n">
        <v>23</v>
      </c>
      <c r="B25" s="11">
        <f>'Parámetros'!$B$4*(1+'Parámetros'!$B$5)^A25</f>
        <v/>
      </c>
      <c r="C25" s="3">
        <f>IF(B25&gt;'Parámetros'!$B$6,"Sí","No")</f>
        <v/>
      </c>
      <c r="D25" s="3">
        <f>IF(B25&gt;'Parámetros'!$B$7,"Sí","No")</f>
        <v/>
      </c>
    </row>
    <row r="26">
      <c r="A26" s="3" t="n">
        <v>24</v>
      </c>
      <c r="B26" s="11">
        <f>'Parámetros'!$B$4*(1+'Parámetros'!$B$5)^A26</f>
        <v/>
      </c>
      <c r="C26" s="3">
        <f>IF(B26&gt;'Parámetros'!$B$6,"Sí","No")</f>
        <v/>
      </c>
      <c r="D26" s="3">
        <f>IF(B26&gt;'Parámetros'!$B$7,"Sí","No")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</cols>
  <sheetData>
    <row r="1">
      <c r="A1" s="2" t="inlineStr">
        <is>
          <t>u (usuarios)</t>
        </is>
      </c>
      <c r="B1" s="2" t="inlineStr">
        <is>
          <t>L(u) en ms</t>
        </is>
      </c>
      <c r="C1" s="2" t="inlineStr">
        <is>
          <t>¿Supera 2000 ms?</t>
        </is>
      </c>
    </row>
    <row r="2">
      <c r="A2" s="3" t="n">
        <v>0</v>
      </c>
      <c r="B2" s="12">
        <f>IF(A2&lt;'Parámetros'!$B$7,'Parámetros'!$B$8/('Parámetros'!$B$7-A2),"Indefinida")</f>
        <v/>
      </c>
      <c r="C2" s="3">
        <f>IF(ISNUMBER(B2),IF(B2&gt;'Parámetros'!$B$9,"Sí","No"),"Colapso")</f>
        <v/>
      </c>
    </row>
    <row r="3">
      <c r="A3" s="3" t="n">
        <v>1000</v>
      </c>
      <c r="B3" s="12">
        <f>IF(A3&lt;'Parámetros'!$B$7,'Parámetros'!$B$8/('Parámetros'!$B$7-A3),"Indefinida")</f>
        <v/>
      </c>
      <c r="C3" s="3">
        <f>IF(ISNUMBER(B3),IF(B3&gt;'Parámetros'!$B$9,"Sí","No"),"Colapso")</f>
        <v/>
      </c>
    </row>
    <row r="4">
      <c r="A4" s="3" t="n">
        <v>2000</v>
      </c>
      <c r="B4" s="12">
        <f>IF(A4&lt;'Parámetros'!$B$7,'Parámetros'!$B$8/('Parámetros'!$B$7-A4),"Indefinida")</f>
        <v/>
      </c>
      <c r="C4" s="3">
        <f>IF(ISNUMBER(B4),IF(B4&gt;'Parámetros'!$B$9,"Sí","No"),"Colapso")</f>
        <v/>
      </c>
    </row>
    <row r="5">
      <c r="A5" s="3" t="n">
        <v>3000</v>
      </c>
      <c r="B5" s="12">
        <f>IF(A5&lt;'Parámetros'!$B$7,'Parámetros'!$B$8/('Parámetros'!$B$7-A5),"Indefinida")</f>
        <v/>
      </c>
      <c r="C5" s="3">
        <f>IF(ISNUMBER(B5),IF(B5&gt;'Parámetros'!$B$9,"Sí","No"),"Colapso")</f>
        <v/>
      </c>
    </row>
    <row r="6">
      <c r="A6" s="3" t="n">
        <v>4000</v>
      </c>
      <c r="B6" s="12">
        <f>IF(A6&lt;'Parámetros'!$B$7,'Parámetros'!$B$8/('Parámetros'!$B$7-A6),"Indefinida")</f>
        <v/>
      </c>
      <c r="C6" s="3">
        <f>IF(ISNUMBER(B6),IF(B6&gt;'Parámetros'!$B$9,"Sí","No"),"Colapso")</f>
        <v/>
      </c>
    </row>
    <row r="7">
      <c r="A7" s="3" t="n">
        <v>4500</v>
      </c>
      <c r="B7" s="12">
        <f>IF(A7&lt;'Parámetros'!$B$7,'Parámetros'!$B$8/('Parámetros'!$B$7-A7),"Indefinida")</f>
        <v/>
      </c>
      <c r="C7" s="3">
        <f>IF(ISNUMBER(B7),IF(B7&gt;'Parámetros'!$B$9,"Sí","No"),"Colapso")</f>
        <v/>
      </c>
    </row>
    <row r="8">
      <c r="A8" s="3" t="n">
        <v>4900</v>
      </c>
      <c r="B8" s="12">
        <f>IF(A8&lt;'Parámetros'!$B$7,'Parámetros'!$B$8/('Parámetros'!$B$7-A8),"Indefinida")</f>
        <v/>
      </c>
      <c r="C8" s="3">
        <f>IF(ISNUMBER(B8),IF(B8&gt;'Parámetros'!$B$9,"Sí","No"),"Colapso")</f>
        <v/>
      </c>
    </row>
    <row r="9">
      <c r="A9" s="3" t="n">
        <v>4990</v>
      </c>
      <c r="B9" s="12">
        <f>IF(A9&lt;'Parámetros'!$B$7,'Parámetros'!$B$8/('Parámetros'!$B$7-A9),"Indefinida")</f>
        <v/>
      </c>
      <c r="C9" s="3">
        <f>IF(ISNUMBER(B9),IF(B9&gt;'Parámetros'!$B$9,"Sí","No"),"Colapso")</f>
        <v/>
      </c>
    </row>
    <row r="10">
      <c r="A10" s="3" t="n">
        <v>4999</v>
      </c>
      <c r="B10" s="12">
        <f>IF(A10&lt;'Parámetros'!$B$7,'Parámetros'!$B$8/('Parámetros'!$B$7-A10),"Indefinida")</f>
        <v/>
      </c>
      <c r="C10" s="3">
        <f>IF(ISNUMBER(B10),IF(B10&gt;'Parámetros'!$B$9,"Sí","No"),"Colapso")</f>
        <v/>
      </c>
    </row>
    <row r="11">
      <c r="A11" s="3" t="n">
        <v>4999.9</v>
      </c>
      <c r="B11" s="12">
        <f>IF(A11&lt;'Parámetros'!$B$7,'Parámetros'!$B$8/('Parámetros'!$B$7-A11),"Indefinida")</f>
        <v/>
      </c>
      <c r="C11" s="3">
        <f>IF(ISNUMBER(B11),IF(B11&gt;'Parámetros'!$B$9,"Sí","No"),"Colapso")</f>
        <v/>
      </c>
    </row>
    <row r="12">
      <c r="A12" s="3" t="n">
        <v>4999.95</v>
      </c>
      <c r="B12" s="12">
        <f>IF(A12&lt;'Parámetros'!$B$7,'Parámetros'!$B$8/('Parámetros'!$B$7-A12),"Indefinida")</f>
        <v/>
      </c>
      <c r="C12" s="3">
        <f>IF(ISNUMBER(B12),IF(B12&gt;'Parámetros'!$B$9,"Sí","No"),"Colapso")</f>
        <v/>
      </c>
    </row>
    <row r="13">
      <c r="A13" s="3" t="n">
        <v>4999.96</v>
      </c>
      <c r="B13" s="12">
        <f>IF(A13&lt;'Parámetros'!$B$7,'Parámetros'!$B$8/('Parámetros'!$B$7-A13),"Indefinida")</f>
        <v/>
      </c>
      <c r="C13" s="3">
        <f>IF(ISNUMBER(B13),IF(B13&gt;'Parámetros'!$B$9,"Sí","No"),"Colapso")</f>
        <v/>
      </c>
    </row>
    <row r="14">
      <c r="A14" s="3" t="n">
        <v>4999.99</v>
      </c>
      <c r="B14" s="12">
        <f>IF(A14&lt;'Parámetros'!$B$7,'Parámetros'!$B$8/('Parámetros'!$B$7-A14),"Indefinida")</f>
        <v/>
      </c>
      <c r="C14" s="3">
        <f>IF(ISNUMBER(B14),IF(B14&gt;'Parámetros'!$B$9,"Sí","No"),"Colapso")</f>
        <v/>
      </c>
    </row>
    <row r="15">
      <c r="A15" s="3" t="n">
        <v>5000</v>
      </c>
      <c r="B15" s="12">
        <f>IF(A15&lt;'Parámetros'!$B$7,'Parámetros'!$B$8/('Parámetros'!$B$7-A15),"Indefinida")</f>
        <v/>
      </c>
      <c r="C15" s="3">
        <f>IF(ISNUMBER(B15),IF(B15&gt;'Parámetros'!$B$9,"Sí","No"),"Colapso")</f>
        <v/>
      </c>
    </row>
    <row r="17">
      <c r="A17" s="5" t="inlineStr">
        <is>
          <t>En u = 4999.95 la latencia es exactamente 2000 ms (no la supera). u = 5000 es la asíntota: la función no está definida.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2" t="inlineStr">
        <is>
          <t>x (precio, $)</t>
        </is>
      </c>
      <c r="B1" s="2" t="inlineStr">
        <is>
          <t>P(x) utilidad ($)</t>
        </is>
      </c>
    </row>
    <row r="2">
      <c r="A2" s="3" t="n">
        <v>0</v>
      </c>
      <c r="B2" s="13">
        <f>'Parámetros'!$B$10*A2^2+'Parámetros'!$B$11*A2+'Parámetros'!$B$12</f>
        <v/>
      </c>
    </row>
    <row r="3">
      <c r="A3" s="3" t="n">
        <v>100</v>
      </c>
      <c r="B3" s="13">
        <f>'Parámetros'!$B$10*A3^2+'Parámetros'!$B$11*A3+'Parámetros'!$B$12</f>
        <v/>
      </c>
    </row>
    <row r="4">
      <c r="A4" s="3" t="n">
        <v>200</v>
      </c>
      <c r="B4" s="13">
        <f>'Parámetros'!$B$10*A4^2+'Parámetros'!$B$11*A4+'Parámetros'!$B$12</f>
        <v/>
      </c>
    </row>
    <row r="5">
      <c r="A5" s="3" t="n">
        <v>300</v>
      </c>
      <c r="B5" s="13">
        <f>'Parámetros'!$B$10*A5^2+'Parámetros'!$B$11*A5+'Parámetros'!$B$12</f>
        <v/>
      </c>
    </row>
    <row r="6">
      <c r="A6" s="3" t="n">
        <v>400</v>
      </c>
      <c r="B6" s="13">
        <f>'Parámetros'!$B$10*A6^2+'Parámetros'!$B$11*A6+'Parámetros'!$B$12</f>
        <v/>
      </c>
    </row>
    <row r="7">
      <c r="A7" s="3" t="n">
        <v>500</v>
      </c>
      <c r="B7" s="13">
        <f>'Parámetros'!$B$10*A7^2+'Parámetros'!$B$11*A7+'Parámetros'!$B$12</f>
        <v/>
      </c>
    </row>
    <row r="8">
      <c r="A8" s="3" t="n">
        <v>600</v>
      </c>
      <c r="B8" s="13">
        <f>'Parámetros'!$B$10*A8^2+'Parámetros'!$B$11*A8+'Parámetros'!$B$12</f>
        <v/>
      </c>
    </row>
    <row r="9">
      <c r="A9" s="3" t="n">
        <v>700</v>
      </c>
      <c r="B9" s="13">
        <f>'Parámetros'!$B$10*A9^2+'Parámetros'!$B$11*A9+'Parámetros'!$B$12</f>
        <v/>
      </c>
    </row>
    <row r="10">
      <c r="A10" s="3" t="n">
        <v>800</v>
      </c>
      <c r="B10" s="13">
        <f>'Parámetros'!$B$10*A10^2+'Parámetros'!$B$11*A10+'Parámetros'!$B$12</f>
        <v/>
      </c>
    </row>
    <row r="11">
      <c r="A11" s="3" t="n">
        <v>900</v>
      </c>
      <c r="B11" s="13">
        <f>'Parámetros'!$B$10*A11^2+'Parámetros'!$B$11*A11+'Parámetros'!$B$12</f>
        <v/>
      </c>
    </row>
    <row r="12">
      <c r="A12" s="3" t="n">
        <v>1000</v>
      </c>
      <c r="B12" s="13">
        <f>'Parámetros'!$B$10*A12^2+'Parámetros'!$B$11*A12+'Parámetros'!$B$12</f>
        <v/>
      </c>
    </row>
    <row r="13">
      <c r="A13" s="3" t="n">
        <v>1100</v>
      </c>
      <c r="B13" s="13">
        <f>'Parámetros'!$B$10*A13^2+'Parámetros'!$B$11*A13+'Parámetros'!$B$12</f>
        <v/>
      </c>
    </row>
    <row r="14">
      <c r="A14" s="3" t="n">
        <v>1200</v>
      </c>
      <c r="B14" s="13">
        <f>'Parámetros'!$B$10*A14^2+'Parámetros'!$B$11*A14+'Parámetros'!$B$12</f>
        <v/>
      </c>
    </row>
    <row r="15">
      <c r="A15" s="3" t="n">
        <v>1300</v>
      </c>
      <c r="B15" s="13">
        <f>'Parámetros'!$B$10*A15^2+'Parámetros'!$B$11*A15+'Parámetros'!$B$12</f>
        <v/>
      </c>
    </row>
    <row r="16">
      <c r="A16" s="3" t="n">
        <v>1400</v>
      </c>
      <c r="B16" s="13">
        <f>'Parámetros'!$B$10*A16^2+'Parámetros'!$B$11*A16+'Parámetros'!$B$12</f>
        <v/>
      </c>
    </row>
    <row r="17">
      <c r="A17" s="3" t="n">
        <v>1500</v>
      </c>
      <c r="B17" s="13">
        <f>'Parámetros'!$B$10*A17^2+'Parámetros'!$B$11*A17+'Parámetros'!$B$12</f>
        <v/>
      </c>
    </row>
    <row r="18">
      <c r="A18" s="3" t="n">
        <v>1600</v>
      </c>
      <c r="B18" s="13">
        <f>'Parámetros'!$B$10*A18^2+'Parámetros'!$B$11*A18+'Parámetros'!$B$12</f>
        <v/>
      </c>
    </row>
    <row r="19">
      <c r="A19" s="3" t="n">
        <v>1700</v>
      </c>
      <c r="B19" s="13">
        <f>'Parámetros'!$B$10*A19^2+'Parámetros'!$B$11*A19+'Parámetros'!$B$12</f>
        <v/>
      </c>
    </row>
    <row r="20">
      <c r="A20" s="3" t="n">
        <v>1800</v>
      </c>
      <c r="B20" s="13">
        <f>'Parámetros'!$B$10*A20^2+'Parámetros'!$B$11*A20+'Parámetros'!$B$12</f>
        <v/>
      </c>
    </row>
    <row r="21">
      <c r="A21" s="3" t="n">
        <v>1900</v>
      </c>
      <c r="B21" s="13">
        <f>'Parámetros'!$B$10*A21^2+'Parámetros'!$B$11*A21+'Parámetros'!$B$12</f>
        <v/>
      </c>
    </row>
    <row r="22">
      <c r="A22" s="3" t="n">
        <v>2000</v>
      </c>
      <c r="B22" s="13">
        <f>'Parámetros'!$B$10*A22^2+'Parámetros'!$B$11*A22+'Parámetros'!$B$12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2026-10-27T03:26:38Z</dcterms:created>
  <dcterms:modified xsi:type="dcterms:W3CDTF">2026-10-27T03:26:38Z</dcterms:modified>
</cp:coreProperties>
</file>